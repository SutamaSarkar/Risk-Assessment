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lacement&amp; Internshi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3" i="1" l="1"/>
  <c r="A34" i="1"/>
  <c r="A35" i="1"/>
  <c r="A36" i="1"/>
  <c r="A37" i="1"/>
  <c r="A38" i="1"/>
  <c r="A32" i="1"/>
  <c r="A24" i="1"/>
  <c r="A25" i="1" s="1"/>
  <c r="A26" i="1" s="1"/>
  <c r="A27" i="1" s="1"/>
  <c r="A28" i="1" s="1"/>
  <c r="A29" i="1" s="1"/>
  <c r="A23" i="1"/>
  <c r="A15" i="1"/>
  <c r="A16" i="1" s="1"/>
  <c r="A17" i="1" s="1"/>
  <c r="A18" i="1" s="1"/>
  <c r="A19" i="1" s="1"/>
  <c r="A20" i="1" s="1"/>
  <c r="A14" i="1"/>
</calcChain>
</file>

<file path=xl/sharedStrings.xml><?xml version="1.0" encoding="utf-8"?>
<sst xmlns="http://schemas.openxmlformats.org/spreadsheetml/2006/main" count="184" uniqueCount="172">
  <si>
    <t>NO.</t>
  </si>
  <si>
    <t>ITEM</t>
  </si>
  <si>
    <t>FAILURE MODE</t>
  </si>
  <si>
    <t>FAILURE CAUSES</t>
  </si>
  <si>
    <t>FAILURE EFFECTS</t>
  </si>
  <si>
    <t>SEVERITY</t>
  </si>
  <si>
    <t>OCCURANCE</t>
  </si>
  <si>
    <t>DETECTION</t>
  </si>
  <si>
    <t>RISK PRIORITY NUMBER(RPN)</t>
  </si>
  <si>
    <t>REMARKS</t>
  </si>
  <si>
    <t>Presentation (User-Facing Components)</t>
  </si>
  <si>
    <t>Web Portal</t>
  </si>
  <si>
    <t>Cross-Site Scripting (XSS)</t>
  </si>
  <si>
    <t>Lack of input sanitization</t>
  </si>
  <si>
    <t>Unauthorized access to user cookies/data</t>
  </si>
  <si>
    <t>Implement strict Content Security Policy (CSP).</t>
  </si>
  <si>
    <t>Mobile Application</t>
  </si>
  <si>
    <t>Insecure Data Storage</t>
  </si>
  <si>
    <t>Local caching of sensitive PII</t>
  </si>
  <si>
    <t>Exposure of data if device is stolen</t>
  </si>
  <si>
    <t>Use encrypted storage (Keychain/Keystore).</t>
  </si>
  <si>
    <t>User Interface (UI)</t>
  </si>
  <si>
    <t>Input Field Lag / Freeze</t>
  </si>
  <si>
    <t>Memory leak in frontend code</t>
  </si>
  <si>
    <t>User frustration; potential double-clicks</t>
  </si>
  <si>
    <t>Optimize DOM rendering; add loading spinners.</t>
  </si>
  <si>
    <t>Session Manager</t>
  </si>
  <si>
    <t>Session Hijacking</t>
  </si>
  <si>
    <t>Predictable session tokens</t>
  </si>
  <si>
    <t>Attacker takes over an active user session</t>
  </si>
  <si>
    <t>Use cryptographically secure random IDs.</t>
  </si>
  <si>
    <t>Clickjacking</t>
  </si>
  <si>
    <t>Missing X-Frame-Options headers</t>
  </si>
  <si>
    <t>Users tricked into performing unintended actions</t>
  </si>
  <si>
    <t>Implement Frame-busting scripts and headers.</t>
  </si>
  <si>
    <t>API Version Mismatch</t>
  </si>
  <si>
    <t>Outdated app version installed</t>
  </si>
  <si>
    <t>App crashes or fails to process transactions</t>
  </si>
  <si>
    <t>Force-update mechanism for critical versions.</t>
  </si>
  <si>
    <t>Displaying Full Acc. Number</t>
  </si>
  <si>
    <t>Incorrect masking logic</t>
  </si>
  <si>
    <t>Visual privacy leak (shoulder surfing)</t>
  </si>
  <si>
    <t>Apply server-side masking (e.g., ****1234).</t>
  </si>
  <si>
    <t>Improper Timeout</t>
  </si>
  <si>
    <t>Fixed timeout set too high</t>
  </si>
  <si>
    <t>Unauthorized access on shared computers</t>
  </si>
  <si>
    <t>Implement "Inactivity Timeout" (e.g., 5 mins).</t>
  </si>
  <si>
    <t>Security &amp; Middleware Layer</t>
  </si>
  <si>
    <t>Authentication Service</t>
  </si>
  <si>
    <t>Brute Force Success</t>
  </si>
  <si>
    <t>Lack of account lockout policy</t>
  </si>
  <si>
    <t>Account takeover &amp; unauthorized access</t>
  </si>
  <si>
    <t>Implement progressive delays and account lockouts.</t>
  </si>
  <si>
    <t>MFA/OTP Gateway</t>
  </si>
  <si>
    <t>SMS Delivery Failure</t>
  </si>
  <si>
    <t>Third-party carrier outage</t>
  </si>
  <si>
    <t>Users locked out; customer support overload</t>
  </si>
  <si>
    <t>Implement Email/Push fallback channels.</t>
  </si>
  <si>
    <t>API Gateway</t>
  </si>
  <si>
    <t>Request Flooding (DoS)</t>
  </si>
  <si>
    <t>No rate-limiting configured</t>
  </si>
  <si>
    <t>Total service unavailability for all users</t>
  </si>
  <si>
    <t>Apply per-user and per-IP rate limits.</t>
  </si>
  <si>
    <t>IAM Service</t>
  </si>
  <si>
    <t>Privilege Escalation</t>
  </si>
  <si>
    <t>Broken access control logic</t>
  </si>
  <si>
    <t>Standard users gain admin/staff rights</t>
  </si>
  <si>
    <t>Regular automated permission audits (RBAC).</t>
  </si>
  <si>
    <t>Fraud Detection Engine</t>
  </si>
  <si>
    <t>High False Negatives</t>
  </si>
  <si>
    <t>Outdated fraud patterns/rules</t>
  </si>
  <si>
    <t>Fraudulent transfers go undetected</t>
  </si>
  <si>
    <t>Update ML models with real-time transaction data.</t>
  </si>
  <si>
    <t>SIM Swapping</t>
  </si>
  <si>
    <t>Mobile network vulnerability</t>
  </si>
  <si>
    <t>Attacker intercepts OTP to bypass MFA</t>
  </si>
  <si>
    <t>Move away from SMS to App-based Authenticator/Biometrics.</t>
  </si>
  <si>
    <t>Data Leakage in Header</t>
  </si>
  <si>
    <t>Verbose error logging</t>
  </si>
  <si>
    <t>Exposure of internal system architecture</t>
  </si>
  <si>
    <t>Sanitize all API responses and suppress detailed logs.</t>
  </si>
  <si>
    <t>Identity Management</t>
  </si>
  <si>
    <t>Stale Session Token</t>
  </si>
  <si>
    <t>Logic error in token revocation</t>
  </si>
  <si>
    <t>Deleted users can still access the system</t>
  </si>
  <si>
    <t>Implement immediate token revocation on status change.</t>
  </si>
  <si>
    <t>Backend &amp; Core Processing Layer</t>
  </si>
  <si>
    <t>TPS</t>
  </si>
  <si>
    <t>Deadlock</t>
  </si>
  <si>
    <t>Simultaneous high-volume transfers</t>
  </si>
  <si>
    <t>Transactions hang; system freeze</t>
  </si>
  <si>
    <t>Optimize DB locking and use message queuing (e.g., Kafka).</t>
  </si>
  <si>
    <t>Ledger Imbalance</t>
  </si>
  <si>
    <t>Synchronization error</t>
  </si>
  <si>
    <t>Discrepancy between actual and shown balance</t>
  </si>
  <si>
    <t>Nightly automated reconciliation and integrity checks.</t>
  </si>
  <si>
    <t>DBMS</t>
  </si>
  <si>
    <t>Data Corruption</t>
  </si>
  <si>
    <t>Disk failure or bug in update script</t>
  </si>
  <si>
    <t>Loss of historical records / transaction logs</t>
  </si>
  <si>
    <t>Implement RAID storage and real-time data mirroring.</t>
  </si>
  <si>
    <t>Payment Gateway</t>
  </si>
  <si>
    <t>Settlement Delay</t>
  </si>
  <si>
    <t>External network timeout</t>
  </si>
  <si>
    <t>Funds "stuck" in transit; user complaints</t>
  </si>
  <si>
    <t>Implement automated retry logic and status polling.</t>
  </si>
  <si>
    <t>Notification Svc</t>
  </si>
  <si>
    <t>Phishing Spoofing</t>
  </si>
  <si>
    <t>Lack of SPF/DKIM records</t>
  </si>
  <si>
    <t>Attackers send fake emails appearing as the bank</t>
  </si>
  <si>
    <t>Mandatory DMARC/SPF/DKIM email authentication.</t>
  </si>
  <si>
    <t>Race Condition</t>
  </si>
  <si>
    <t>Non-atomic operations</t>
  </si>
  <si>
    <t>Double spending or incorrect account balance</t>
  </si>
  <si>
    <t>Enforce ACID properties for all database transactions.</t>
  </si>
  <si>
    <t>Unauthorized Query</t>
  </si>
  <si>
    <t>SQL Injection via internal tool</t>
  </si>
  <si>
    <t>Mass data exfiltration (Full DB leak)</t>
  </si>
  <si>
    <t>Use Prepared Statements and strictly follow Least Privilege.</t>
  </si>
  <si>
    <t>Queue Overflow</t>
  </si>
  <si>
    <t>Sudden spike in system alerts</t>
  </si>
  <si>
    <t>Delayed critical alerts (e.g., fraud alerts)</t>
  </si>
  <si>
    <t>Horizontal scaling of notification workers.</t>
  </si>
  <si>
    <t>Transaction Processing System(TPS)</t>
  </si>
  <si>
    <t>Core Banking System (CBS)</t>
  </si>
  <si>
    <t>Catastrophic (Severity 10):CBS - Ledger Imbalance,DBMS - Data Corruption,DBMS - Unauthorized Query (SQL Injection)</t>
  </si>
  <si>
    <t>Major / Marginal (Severity 6–7): Payment Gateway - Settlement Delay (S: 7),Notification Svc - Queue Overflow (S: 6)</t>
  </si>
  <si>
    <t>Infrastructure &amp; Support Layer</t>
  </si>
  <si>
    <t>Web/App Server</t>
  </si>
  <si>
    <t>Memory Leak</t>
  </si>
  <si>
    <t>Unoptimized code / Resource exhaustion</t>
  </si>
  <si>
    <t>Server crash; intermittent service drops</t>
  </si>
  <si>
    <t>Implement auto-restart scripts and pod autoscaling.</t>
  </si>
  <si>
    <t>Load Balancer</t>
  </si>
  <si>
    <t>Single Point Failure</t>
  </si>
  <si>
    <t>Configuration error or hardware failure</t>
  </si>
  <si>
    <t>Total system blackout (Zero traffic)</t>
  </si>
  <si>
    <t>Use a High Availability (HA) pair with Failover IP.</t>
  </si>
  <si>
    <t>Audit Logging</t>
  </si>
  <si>
    <t>Log Tampering</t>
  </si>
  <si>
    <t>Compromised admin credentials</t>
  </si>
  <si>
    <t>Inability to track fraud; compliance failure</t>
  </si>
  <si>
    <t>Use Write-Once-Read-Many (WORM) storage.</t>
  </si>
  <si>
    <t>Backup System</t>
  </si>
  <si>
    <t>Backup Corruption</t>
  </si>
  <si>
    <t>Data transfer error during backup job</t>
  </si>
  <si>
    <t>Impossible to recover from a disaster</t>
  </si>
  <si>
    <t>Regular "Restoration Drills" to verify backup integrity.</t>
  </si>
  <si>
    <t>Unpatched OS</t>
  </si>
  <si>
    <t>Delayed security maintenance</t>
  </si>
  <si>
    <t>Vulnerability to zero-day exploits/malware</t>
  </si>
  <si>
    <t>Implement Automated Patch Management (DevSecOps).</t>
  </si>
  <si>
    <t>SSL Expiry</t>
  </si>
  <si>
    <t>Certificate renewal oversight</t>
  </si>
  <si>
    <t>Browser "Security Warning"; user trust loss</t>
  </si>
  <si>
    <t>Use Automated Certificate Management (e.g., Let's Encrypt).</t>
  </si>
  <si>
    <t>Disk Full</t>
  </si>
  <si>
    <t>Log rotation failure</t>
  </si>
  <si>
    <t>Missing evidence for legal/security audits</t>
  </si>
  <si>
    <t>Implement real-time monitoring of disk space.</t>
  </si>
  <si>
    <t>Slow Recovery</t>
  </si>
  <si>
    <t>Insufficient network bandwidth</t>
  </si>
  <si>
    <t>Prolonged downtime during a disaster (RTO)</t>
  </si>
  <si>
    <t>Optimize Recovery Time Objective (RTO) targets.</t>
  </si>
  <si>
    <t>Catastrophic (S: 10): Audit Logging (Log Tampering),Backup System (Corruption)</t>
  </si>
  <si>
    <t>Critical (S: 8-9):Web Server (Unpatched OS),Load Balancer (Single Point Failure,Major (S: 6-7)</t>
  </si>
  <si>
    <r>
      <t>Catastrophic (S: 9-10):</t>
    </r>
    <r>
      <rPr>
        <sz val="11"/>
        <color theme="1"/>
        <rFont val="Times New Roman"/>
        <family val="1"/>
      </rPr>
      <t xml:space="preserve"> Session Hijacking, XSS (High risk of fund theft).</t>
    </r>
  </si>
  <si>
    <r>
      <t>Critical (S: 7-8):</t>
    </r>
    <r>
      <rPr>
        <sz val="11"/>
        <color theme="1"/>
        <rFont val="Times New Roman"/>
        <family val="1"/>
      </rPr>
      <t xml:space="preserve"> Insecure Storage, Clickjacking.</t>
    </r>
  </si>
  <si>
    <r>
      <t>Marginal (S: 4-6):</t>
    </r>
    <r>
      <rPr>
        <sz val="11"/>
        <color theme="1"/>
        <rFont val="Times New Roman"/>
        <family val="1"/>
      </rPr>
      <t xml:space="preserve"> UI Lag, Version Mismatch.</t>
    </r>
  </si>
  <si>
    <r>
      <t>Catastrophic (S: 9-10):</t>
    </r>
    <r>
      <rPr>
        <sz val="11"/>
        <color theme="1"/>
        <rFont val="Times New Roman"/>
        <family val="1"/>
      </rPr>
      <t xml:space="preserve"> Privilege Escalation, SIM Swapping, Brute Force. These require immediate architectural fixes.</t>
    </r>
  </si>
  <si>
    <r>
      <t>Major (S: 7-8):</t>
    </r>
    <r>
      <rPr>
        <sz val="11"/>
        <color theme="1"/>
        <rFont val="Times New Roman"/>
        <family val="1"/>
      </rPr>
      <t xml:space="preserve"> API DoS, SMS Outages. These require redundancy and infrastructure scaling.</t>
    </r>
  </si>
  <si>
    <t>FMECA OF ONLINE BANKING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</si>
</sst>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 tint="4.9989318521683403E-2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48"/>
      <color theme="0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A1E1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D7777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4" fillId="4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6" borderId="1" xfId="0" applyFont="1" applyFill="1" applyBorder="1" applyAlignment="1">
      <alignment horizontal="right" vertical="center" wrapText="1"/>
    </xf>
    <xf numFmtId="0" fontId="4" fillId="5" borderId="0" xfId="0" applyFont="1" applyFill="1" applyAlignment="1">
      <alignment vertical="center"/>
    </xf>
    <xf numFmtId="0" fontId="3" fillId="8" borderId="1" xfId="0" applyFont="1" applyFill="1" applyBorder="1" applyAlignment="1">
      <alignment horizontal="right" vertical="center" wrapText="1"/>
    </xf>
    <xf numFmtId="0" fontId="4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7777"/>
      <color rgb="FFFA1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8"/>
  <sheetViews>
    <sheetView tabSelected="1" zoomScale="18" workbookViewId="0">
      <selection activeCell="C8" sqref="C8"/>
    </sheetView>
  </sheetViews>
  <sheetFormatPr defaultRowHeight="15" x14ac:dyDescent="0.25"/>
  <cols>
    <col min="1" max="1" width="9.140625" style="2" customWidth="1"/>
    <col min="2" max="2" width="18.7109375" style="2" customWidth="1"/>
    <col min="3" max="3" width="21.5703125" style="2" customWidth="1"/>
    <col min="4" max="4" width="28.28515625" style="2" customWidth="1"/>
    <col min="5" max="5" width="29" style="2" customWidth="1"/>
    <col min="6" max="6" width="15.140625" style="2" customWidth="1"/>
    <col min="7" max="7" width="20.140625" style="2" customWidth="1"/>
    <col min="8" max="8" width="18.5703125" style="2" customWidth="1"/>
    <col min="9" max="9" width="43.28515625" style="2" customWidth="1"/>
    <col min="10" max="10" width="17.140625" style="2" customWidth="1"/>
    <col min="11" max="16384" width="9.140625" style="2"/>
  </cols>
  <sheetData>
    <row r="1" spans="1:30" ht="61.5" x14ac:dyDescent="0.25">
      <c r="E1" s="16" t="s">
        <v>171</v>
      </c>
      <c r="F1" s="16"/>
      <c r="G1" s="17"/>
      <c r="H1" s="17"/>
      <c r="I1" s="17"/>
      <c r="J1" s="17"/>
      <c r="K1" s="17"/>
      <c r="L1" s="17"/>
      <c r="M1" s="17"/>
    </row>
    <row r="2" spans="1:30" s="19" customFormat="1" ht="18.75" x14ac:dyDescent="0.2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</row>
    <row r="3" spans="1:30" s="4" customFormat="1" ht="15.75" thickBot="1" x14ac:dyDescent="0.3">
      <c r="A3" s="3" t="s">
        <v>10</v>
      </c>
      <c r="B3" s="3"/>
      <c r="C3" s="3"/>
    </row>
    <row r="4" spans="1:30" ht="26.25" thickBot="1" x14ac:dyDescent="0.3">
      <c r="A4" s="2">
        <v>1</v>
      </c>
      <c r="B4" s="5" t="s">
        <v>11</v>
      </c>
      <c r="C4" s="5" t="s">
        <v>12</v>
      </c>
      <c r="D4" s="5" t="s">
        <v>13</v>
      </c>
      <c r="E4" s="5" t="s">
        <v>14</v>
      </c>
      <c r="F4" s="6">
        <v>9</v>
      </c>
      <c r="G4" s="6">
        <v>3</v>
      </c>
      <c r="H4" s="6">
        <v>5</v>
      </c>
      <c r="I4" s="6">
        <v>135</v>
      </c>
      <c r="J4" s="1" t="s">
        <v>15</v>
      </c>
      <c r="K4" s="5"/>
      <c r="L4" s="5"/>
      <c r="R4" s="7" t="s">
        <v>166</v>
      </c>
      <c r="S4" s="8"/>
      <c r="T4" s="8"/>
      <c r="U4" s="8"/>
      <c r="V4" s="8"/>
      <c r="W4" s="8"/>
      <c r="X4" s="8"/>
      <c r="Y4" s="8"/>
      <c r="Z4" s="8"/>
    </row>
    <row r="5" spans="1:30" ht="15.75" thickBot="1" x14ac:dyDescent="0.3">
      <c r="A5" s="2">
        <v>2</v>
      </c>
      <c r="B5" s="5" t="s">
        <v>16</v>
      </c>
      <c r="C5" s="5" t="s">
        <v>17</v>
      </c>
      <c r="D5" s="5" t="s">
        <v>18</v>
      </c>
      <c r="E5" s="5" t="s">
        <v>19</v>
      </c>
      <c r="F5" s="6">
        <v>8</v>
      </c>
      <c r="G5" s="6">
        <v>4</v>
      </c>
      <c r="H5" s="6">
        <v>6</v>
      </c>
      <c r="I5" s="6">
        <v>192</v>
      </c>
      <c r="J5" s="1" t="s">
        <v>20</v>
      </c>
      <c r="K5" s="5"/>
      <c r="L5" s="5"/>
    </row>
    <row r="6" spans="1:30" ht="26.25" thickBot="1" x14ac:dyDescent="0.3">
      <c r="A6" s="2">
        <v>3</v>
      </c>
      <c r="B6" s="5" t="s">
        <v>21</v>
      </c>
      <c r="C6" s="5" t="s">
        <v>22</v>
      </c>
      <c r="D6" s="5" t="s">
        <v>23</v>
      </c>
      <c r="E6" s="5" t="s">
        <v>24</v>
      </c>
      <c r="F6" s="6">
        <v>4</v>
      </c>
      <c r="G6" s="6">
        <v>5</v>
      </c>
      <c r="H6" s="6">
        <v>3</v>
      </c>
      <c r="I6" s="6">
        <v>60</v>
      </c>
      <c r="J6" s="1" t="s">
        <v>25</v>
      </c>
      <c r="K6" s="5"/>
      <c r="L6" s="5"/>
      <c r="R6" s="7" t="s">
        <v>167</v>
      </c>
      <c r="S6" s="8"/>
      <c r="T6" s="8"/>
      <c r="U6" s="8"/>
      <c r="V6" s="8"/>
      <c r="W6" s="8"/>
      <c r="X6" s="8"/>
    </row>
    <row r="7" spans="1:30" ht="26.25" thickBot="1" x14ac:dyDescent="0.3">
      <c r="A7" s="2">
        <v>4</v>
      </c>
      <c r="B7" s="5" t="s">
        <v>26</v>
      </c>
      <c r="C7" s="5" t="s">
        <v>27</v>
      </c>
      <c r="D7" s="5" t="s">
        <v>28</v>
      </c>
      <c r="E7" s="5" t="s">
        <v>29</v>
      </c>
      <c r="F7" s="6">
        <v>10</v>
      </c>
      <c r="G7" s="6">
        <v>2</v>
      </c>
      <c r="H7" s="6">
        <v>7</v>
      </c>
      <c r="I7" s="6">
        <v>140</v>
      </c>
      <c r="J7" s="1" t="s">
        <v>30</v>
      </c>
      <c r="K7" s="5"/>
      <c r="L7" s="5"/>
    </row>
    <row r="8" spans="1:30" ht="26.25" thickBot="1" x14ac:dyDescent="0.3">
      <c r="A8" s="2">
        <v>5</v>
      </c>
      <c r="B8" s="5" t="s">
        <v>11</v>
      </c>
      <c r="C8" s="5" t="s">
        <v>31</v>
      </c>
      <c r="D8" s="5" t="s">
        <v>32</v>
      </c>
      <c r="E8" s="5" t="s">
        <v>33</v>
      </c>
      <c r="F8" s="6">
        <v>7</v>
      </c>
      <c r="G8" s="6">
        <v>4</v>
      </c>
      <c r="H8" s="6">
        <v>5</v>
      </c>
      <c r="I8" s="6">
        <v>140</v>
      </c>
      <c r="J8" s="1" t="s">
        <v>34</v>
      </c>
      <c r="K8" s="5"/>
      <c r="L8" s="5"/>
      <c r="R8" s="7" t="s">
        <v>168</v>
      </c>
      <c r="S8" s="8"/>
      <c r="T8" s="8"/>
      <c r="U8" s="8"/>
      <c r="V8" s="8"/>
      <c r="W8" s="8"/>
      <c r="X8" s="8"/>
    </row>
    <row r="9" spans="1:30" ht="26.25" thickBot="1" x14ac:dyDescent="0.3">
      <c r="A9" s="2">
        <v>6</v>
      </c>
      <c r="B9" s="5" t="s">
        <v>16</v>
      </c>
      <c r="C9" s="5" t="s">
        <v>35</v>
      </c>
      <c r="D9" s="5" t="s">
        <v>36</v>
      </c>
      <c r="E9" s="5" t="s">
        <v>37</v>
      </c>
      <c r="F9" s="6">
        <v>6</v>
      </c>
      <c r="G9" s="6">
        <v>6</v>
      </c>
      <c r="H9" s="6">
        <v>2</v>
      </c>
      <c r="I9" s="6">
        <v>72</v>
      </c>
      <c r="J9" s="1" t="s">
        <v>38</v>
      </c>
      <c r="K9" s="5"/>
      <c r="L9" s="5"/>
    </row>
    <row r="10" spans="1:30" ht="26.25" thickBot="1" x14ac:dyDescent="0.3">
      <c r="A10" s="2">
        <v>7</v>
      </c>
      <c r="B10" s="5" t="s">
        <v>21</v>
      </c>
      <c r="C10" s="5" t="s">
        <v>39</v>
      </c>
      <c r="D10" s="5" t="s">
        <v>40</v>
      </c>
      <c r="E10" s="5" t="s">
        <v>41</v>
      </c>
      <c r="F10" s="6">
        <v>5</v>
      </c>
      <c r="G10" s="6">
        <v>3</v>
      </c>
      <c r="H10" s="6">
        <v>4</v>
      </c>
      <c r="I10" s="6">
        <v>60</v>
      </c>
      <c r="J10" s="1" t="s">
        <v>42</v>
      </c>
      <c r="K10" s="5"/>
      <c r="L10" s="5"/>
    </row>
    <row r="11" spans="1:30" ht="26.25" thickBot="1" x14ac:dyDescent="0.3">
      <c r="A11" s="2">
        <v>8</v>
      </c>
      <c r="B11" s="5" t="s">
        <v>26</v>
      </c>
      <c r="C11" s="5" t="s">
        <v>43</v>
      </c>
      <c r="D11" s="5" t="s">
        <v>44</v>
      </c>
      <c r="E11" s="5" t="s">
        <v>45</v>
      </c>
      <c r="F11" s="6">
        <v>7</v>
      </c>
      <c r="G11" s="6">
        <v>5</v>
      </c>
      <c r="H11" s="6">
        <v>8</v>
      </c>
      <c r="I11" s="9">
        <v>280</v>
      </c>
      <c r="J11" s="1" t="s">
        <v>46</v>
      </c>
      <c r="K11" s="5"/>
      <c r="L11" s="5"/>
    </row>
    <row r="12" spans="1:30" s="4" customFormat="1" ht="15.75" thickBot="1" x14ac:dyDescent="0.3">
      <c r="A12" s="10" t="s">
        <v>47</v>
      </c>
      <c r="B12" s="10"/>
      <c r="C12" s="10"/>
    </row>
    <row r="13" spans="1:30" ht="26.25" thickBot="1" x14ac:dyDescent="0.3">
      <c r="A13" s="2">
        <v>1</v>
      </c>
      <c r="B13" s="5" t="s">
        <v>48</v>
      </c>
      <c r="C13" s="5" t="s">
        <v>49</v>
      </c>
      <c r="D13" s="5" t="s">
        <v>50</v>
      </c>
      <c r="E13" s="5" t="s">
        <v>51</v>
      </c>
      <c r="F13" s="6">
        <v>9</v>
      </c>
      <c r="G13" s="6">
        <v>4</v>
      </c>
      <c r="H13" s="6">
        <v>3</v>
      </c>
      <c r="I13" s="6">
        <v>108</v>
      </c>
      <c r="J13" s="1" t="s">
        <v>52</v>
      </c>
      <c r="K13" s="5"/>
      <c r="L13" s="5"/>
      <c r="M13" s="5"/>
    </row>
    <row r="14" spans="1:30" ht="26.25" thickBot="1" x14ac:dyDescent="0.3">
      <c r="A14" s="2">
        <f>A13+1</f>
        <v>2</v>
      </c>
      <c r="B14" s="5" t="s">
        <v>53</v>
      </c>
      <c r="C14" s="5" t="s">
        <v>54</v>
      </c>
      <c r="D14" s="5" t="s">
        <v>55</v>
      </c>
      <c r="E14" s="5" t="s">
        <v>56</v>
      </c>
      <c r="F14" s="6">
        <v>7</v>
      </c>
      <c r="G14" s="6">
        <v>5</v>
      </c>
      <c r="H14" s="6">
        <v>2</v>
      </c>
      <c r="I14" s="6">
        <v>70</v>
      </c>
      <c r="J14" s="1" t="s">
        <v>57</v>
      </c>
      <c r="K14" s="5"/>
      <c r="L14" s="5"/>
      <c r="M14" s="5"/>
      <c r="R14" s="7" t="s">
        <v>169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26.25" thickBot="1" x14ac:dyDescent="0.3">
      <c r="A15" s="2">
        <f t="shared" ref="A15:A20" si="0">A14+1</f>
        <v>3</v>
      </c>
      <c r="B15" s="5" t="s">
        <v>58</v>
      </c>
      <c r="C15" s="5" t="s">
        <v>59</v>
      </c>
      <c r="D15" s="5" t="s">
        <v>60</v>
      </c>
      <c r="E15" s="5" t="s">
        <v>61</v>
      </c>
      <c r="F15" s="6">
        <v>8</v>
      </c>
      <c r="G15" s="6">
        <v>4</v>
      </c>
      <c r="H15" s="6">
        <v>3</v>
      </c>
      <c r="I15" s="6">
        <v>96</v>
      </c>
      <c r="J15" s="1" t="s">
        <v>62</v>
      </c>
      <c r="K15" s="5"/>
      <c r="L15" s="5"/>
      <c r="M15" s="5"/>
    </row>
    <row r="16" spans="1:30" ht="26.25" thickBot="1" x14ac:dyDescent="0.3">
      <c r="A16" s="2">
        <f t="shared" si="0"/>
        <v>4</v>
      </c>
      <c r="B16" s="5" t="s">
        <v>63</v>
      </c>
      <c r="C16" s="5" t="s">
        <v>64</v>
      </c>
      <c r="D16" s="5" t="s">
        <v>65</v>
      </c>
      <c r="E16" s="5" t="s">
        <v>66</v>
      </c>
      <c r="F16" s="6">
        <v>10</v>
      </c>
      <c r="G16" s="6">
        <v>2</v>
      </c>
      <c r="H16" s="6">
        <v>6</v>
      </c>
      <c r="I16" s="6">
        <v>120</v>
      </c>
      <c r="J16" s="1" t="s">
        <v>67</v>
      </c>
      <c r="K16" s="5"/>
      <c r="L16" s="5"/>
      <c r="M16" s="5"/>
      <c r="R16" s="7" t="s">
        <v>170</v>
      </c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30" ht="26.25" thickBot="1" x14ac:dyDescent="0.3">
      <c r="A17" s="2">
        <f t="shared" si="0"/>
        <v>5</v>
      </c>
      <c r="B17" s="5" t="s">
        <v>68</v>
      </c>
      <c r="C17" s="5" t="s">
        <v>69</v>
      </c>
      <c r="D17" s="5" t="s">
        <v>70</v>
      </c>
      <c r="E17" s="5" t="s">
        <v>71</v>
      </c>
      <c r="F17" s="6">
        <v>9</v>
      </c>
      <c r="G17" s="6">
        <v>3</v>
      </c>
      <c r="H17" s="6">
        <v>8</v>
      </c>
      <c r="I17" s="9">
        <v>216</v>
      </c>
      <c r="J17" s="1" t="s">
        <v>72</v>
      </c>
      <c r="K17" s="5"/>
      <c r="L17" s="5"/>
      <c r="M17" s="5"/>
    </row>
    <row r="18" spans="1:30" ht="26.25" thickBot="1" x14ac:dyDescent="0.3">
      <c r="A18" s="2">
        <f t="shared" si="0"/>
        <v>6</v>
      </c>
      <c r="B18" s="5" t="s">
        <v>53</v>
      </c>
      <c r="C18" s="5" t="s">
        <v>73</v>
      </c>
      <c r="D18" s="5" t="s">
        <v>74</v>
      </c>
      <c r="E18" s="5" t="s">
        <v>75</v>
      </c>
      <c r="F18" s="6">
        <v>10</v>
      </c>
      <c r="G18" s="6">
        <v>3</v>
      </c>
      <c r="H18" s="6">
        <v>7</v>
      </c>
      <c r="I18" s="11">
        <v>210</v>
      </c>
      <c r="J18" s="1" t="s">
        <v>76</v>
      </c>
      <c r="K18" s="5"/>
      <c r="L18" s="5"/>
      <c r="M18" s="5"/>
    </row>
    <row r="19" spans="1:30" ht="26.25" thickBot="1" x14ac:dyDescent="0.3">
      <c r="A19" s="2">
        <f t="shared" si="0"/>
        <v>7</v>
      </c>
      <c r="B19" s="5" t="s">
        <v>58</v>
      </c>
      <c r="C19" s="5" t="s">
        <v>77</v>
      </c>
      <c r="D19" s="5" t="s">
        <v>78</v>
      </c>
      <c r="E19" s="5" t="s">
        <v>79</v>
      </c>
      <c r="F19" s="6">
        <v>5</v>
      </c>
      <c r="G19" s="6">
        <v>4</v>
      </c>
      <c r="H19" s="6">
        <v>4</v>
      </c>
      <c r="I19" s="6">
        <v>80</v>
      </c>
      <c r="J19" s="1" t="s">
        <v>80</v>
      </c>
      <c r="K19" s="5"/>
      <c r="L19" s="5"/>
      <c r="M19" s="5"/>
    </row>
    <row r="20" spans="1:30" ht="26.25" thickBot="1" x14ac:dyDescent="0.3">
      <c r="A20" s="2">
        <f t="shared" si="0"/>
        <v>8</v>
      </c>
      <c r="B20" s="5" t="s">
        <v>81</v>
      </c>
      <c r="C20" s="5" t="s">
        <v>82</v>
      </c>
      <c r="D20" s="5" t="s">
        <v>83</v>
      </c>
      <c r="E20" s="5" t="s">
        <v>84</v>
      </c>
      <c r="F20" s="6">
        <v>8</v>
      </c>
      <c r="G20" s="6">
        <v>3</v>
      </c>
      <c r="H20" s="6">
        <v>5</v>
      </c>
      <c r="I20" s="6">
        <v>120</v>
      </c>
      <c r="J20" s="1" t="s">
        <v>85</v>
      </c>
      <c r="K20" s="5"/>
      <c r="L20" s="5"/>
      <c r="M20" s="5"/>
    </row>
    <row r="21" spans="1:30" s="13" customFormat="1" ht="15.75" thickBot="1" x14ac:dyDescent="0.3">
      <c r="A21" s="12" t="s">
        <v>86</v>
      </c>
      <c r="B21" s="12"/>
      <c r="C21" s="12"/>
    </row>
    <row r="22" spans="1:30" ht="39" thickBot="1" x14ac:dyDescent="0.3">
      <c r="A22" s="2">
        <v>1</v>
      </c>
      <c r="B22" s="5" t="s">
        <v>123</v>
      </c>
      <c r="C22" s="5" t="s">
        <v>88</v>
      </c>
      <c r="D22" s="5" t="s">
        <v>89</v>
      </c>
      <c r="E22" s="5" t="s">
        <v>90</v>
      </c>
      <c r="F22" s="6">
        <v>8</v>
      </c>
      <c r="G22" s="6">
        <v>3</v>
      </c>
      <c r="H22" s="6">
        <v>4</v>
      </c>
      <c r="I22" s="6">
        <v>96</v>
      </c>
      <c r="J22" s="1" t="s">
        <v>91</v>
      </c>
      <c r="K22" s="5"/>
      <c r="L22" s="5"/>
      <c r="M22" s="5"/>
    </row>
    <row r="23" spans="1:30" ht="26.25" thickBot="1" x14ac:dyDescent="0.3">
      <c r="A23" s="2">
        <f>A22+1</f>
        <v>2</v>
      </c>
      <c r="B23" s="5" t="s">
        <v>124</v>
      </c>
      <c r="C23" s="5" t="s">
        <v>92</v>
      </c>
      <c r="D23" s="5" t="s">
        <v>93</v>
      </c>
      <c r="E23" s="5" t="s">
        <v>94</v>
      </c>
      <c r="F23" s="6">
        <v>10</v>
      </c>
      <c r="G23" s="6">
        <v>1</v>
      </c>
      <c r="H23" s="6">
        <v>6</v>
      </c>
      <c r="I23" s="6">
        <v>60</v>
      </c>
      <c r="J23" s="1" t="s">
        <v>95</v>
      </c>
      <c r="K23" s="5"/>
      <c r="L23" s="5"/>
      <c r="M23" s="5"/>
      <c r="R23" s="8" t="s">
        <v>125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26.25" thickBot="1" x14ac:dyDescent="0.3">
      <c r="A24" s="2">
        <f t="shared" ref="A24:A29" si="1">A23+1</f>
        <v>3</v>
      </c>
      <c r="B24" s="5" t="s">
        <v>96</v>
      </c>
      <c r="C24" s="5" t="s">
        <v>97</v>
      </c>
      <c r="D24" s="5" t="s">
        <v>98</v>
      </c>
      <c r="E24" s="5" t="s">
        <v>99</v>
      </c>
      <c r="F24" s="6">
        <v>10</v>
      </c>
      <c r="G24" s="6">
        <v>2</v>
      </c>
      <c r="H24" s="6">
        <v>5</v>
      </c>
      <c r="I24" s="6">
        <v>100</v>
      </c>
      <c r="J24" s="1" t="s">
        <v>100</v>
      </c>
      <c r="K24" s="5"/>
      <c r="L24" s="5"/>
      <c r="M24" s="5"/>
    </row>
    <row r="25" spans="1:30" ht="26.25" thickBot="1" x14ac:dyDescent="0.3">
      <c r="A25" s="2">
        <f t="shared" si="1"/>
        <v>4</v>
      </c>
      <c r="B25" s="5" t="s">
        <v>101</v>
      </c>
      <c r="C25" s="5" t="s">
        <v>102</v>
      </c>
      <c r="D25" s="5" t="s">
        <v>103</v>
      </c>
      <c r="E25" s="5" t="s">
        <v>104</v>
      </c>
      <c r="F25" s="6">
        <v>7</v>
      </c>
      <c r="G25" s="6">
        <v>5</v>
      </c>
      <c r="H25" s="6">
        <v>3</v>
      </c>
      <c r="I25" s="6">
        <v>105</v>
      </c>
      <c r="J25" s="1" t="s">
        <v>105</v>
      </c>
      <c r="K25" s="5"/>
      <c r="L25" s="5"/>
      <c r="M25" s="5"/>
      <c r="R25" s="8" t="s">
        <v>126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26.25" thickBot="1" x14ac:dyDescent="0.3">
      <c r="A26" s="2">
        <f t="shared" si="1"/>
        <v>5</v>
      </c>
      <c r="B26" s="5" t="s">
        <v>106</v>
      </c>
      <c r="C26" s="5" t="s">
        <v>107</v>
      </c>
      <c r="D26" s="5" t="s">
        <v>108</v>
      </c>
      <c r="E26" s="5" t="s">
        <v>109</v>
      </c>
      <c r="F26" s="6">
        <v>8</v>
      </c>
      <c r="G26" s="6">
        <v>4</v>
      </c>
      <c r="H26" s="6">
        <v>7</v>
      </c>
      <c r="I26" s="9">
        <v>224</v>
      </c>
      <c r="J26" s="1" t="s">
        <v>110</v>
      </c>
      <c r="K26" s="5"/>
      <c r="L26" s="5"/>
      <c r="M26" s="5"/>
    </row>
    <row r="27" spans="1:30" ht="26.25" thickBot="1" x14ac:dyDescent="0.3">
      <c r="A27" s="2">
        <f t="shared" si="1"/>
        <v>6</v>
      </c>
      <c r="B27" s="5" t="s">
        <v>87</v>
      </c>
      <c r="C27" s="5" t="s">
        <v>111</v>
      </c>
      <c r="D27" s="5" t="s">
        <v>112</v>
      </c>
      <c r="E27" s="5" t="s">
        <v>113</v>
      </c>
      <c r="F27" s="6">
        <v>9</v>
      </c>
      <c r="G27" s="6">
        <v>2</v>
      </c>
      <c r="H27" s="6">
        <v>5</v>
      </c>
      <c r="I27" s="6">
        <v>90</v>
      </c>
      <c r="J27" s="1" t="s">
        <v>114</v>
      </c>
      <c r="K27" s="5"/>
      <c r="L27" s="5"/>
      <c r="M27" s="5"/>
    </row>
    <row r="28" spans="1:30" ht="15.75" thickBot="1" x14ac:dyDescent="0.3">
      <c r="A28" s="2">
        <f t="shared" si="1"/>
        <v>7</v>
      </c>
      <c r="B28" s="5" t="s">
        <v>96</v>
      </c>
      <c r="C28" s="5" t="s">
        <v>115</v>
      </c>
      <c r="D28" s="5" t="s">
        <v>116</v>
      </c>
      <c r="E28" s="5" t="s">
        <v>117</v>
      </c>
      <c r="F28" s="6">
        <v>10</v>
      </c>
      <c r="G28" s="6">
        <v>2</v>
      </c>
      <c r="H28" s="6">
        <v>4</v>
      </c>
      <c r="I28" s="6">
        <v>80</v>
      </c>
      <c r="J28" s="1" t="s">
        <v>118</v>
      </c>
      <c r="K28" s="5"/>
      <c r="L28" s="5"/>
      <c r="M28" s="5"/>
    </row>
    <row r="29" spans="1:30" ht="26.25" thickBot="1" x14ac:dyDescent="0.3">
      <c r="A29" s="2">
        <f t="shared" si="1"/>
        <v>8</v>
      </c>
      <c r="B29" s="5" t="s">
        <v>106</v>
      </c>
      <c r="C29" s="5" t="s">
        <v>119</v>
      </c>
      <c r="D29" s="5" t="s">
        <v>120</v>
      </c>
      <c r="E29" s="5" t="s">
        <v>121</v>
      </c>
      <c r="F29" s="6">
        <v>6</v>
      </c>
      <c r="G29" s="6">
        <v>4</v>
      </c>
      <c r="H29" s="6">
        <v>2</v>
      </c>
      <c r="I29" s="6">
        <v>48</v>
      </c>
      <c r="J29" s="1" t="s">
        <v>122</v>
      </c>
      <c r="K29" s="5"/>
      <c r="L29" s="5"/>
      <c r="M29" s="5"/>
    </row>
    <row r="30" spans="1:30" s="15" customFormat="1" ht="15.75" thickBot="1" x14ac:dyDescent="0.3">
      <c r="A30" s="14" t="s">
        <v>127</v>
      </c>
      <c r="B30" s="14"/>
      <c r="C30" s="14"/>
    </row>
    <row r="31" spans="1:30" ht="26.25" thickBot="1" x14ac:dyDescent="0.3">
      <c r="A31" s="2">
        <v>1</v>
      </c>
      <c r="B31" s="5" t="s">
        <v>128</v>
      </c>
      <c r="C31" s="5" t="s">
        <v>129</v>
      </c>
      <c r="D31" s="5" t="s">
        <v>130</v>
      </c>
      <c r="E31" s="5" t="s">
        <v>131</v>
      </c>
      <c r="F31" s="6">
        <v>7</v>
      </c>
      <c r="G31" s="6">
        <v>5</v>
      </c>
      <c r="H31" s="6">
        <v>3</v>
      </c>
      <c r="I31" s="6">
        <v>105</v>
      </c>
      <c r="J31" s="1" t="s">
        <v>132</v>
      </c>
      <c r="K31" s="5"/>
      <c r="L31" s="5"/>
      <c r="M31" s="5"/>
    </row>
    <row r="32" spans="1:30" ht="26.25" thickBot="1" x14ac:dyDescent="0.3">
      <c r="A32" s="2">
        <f>A31+1</f>
        <v>2</v>
      </c>
      <c r="B32" s="5" t="s">
        <v>133</v>
      </c>
      <c r="C32" s="5" t="s">
        <v>134</v>
      </c>
      <c r="D32" s="5" t="s">
        <v>135</v>
      </c>
      <c r="E32" s="5" t="s">
        <v>136</v>
      </c>
      <c r="F32" s="6">
        <v>9</v>
      </c>
      <c r="G32" s="6">
        <v>2</v>
      </c>
      <c r="H32" s="6">
        <v>4</v>
      </c>
      <c r="I32" s="6">
        <v>72</v>
      </c>
      <c r="J32" s="1" t="s">
        <v>137</v>
      </c>
      <c r="K32" s="5"/>
      <c r="L32" s="5"/>
      <c r="M32" s="5"/>
      <c r="R32" s="8" t="s">
        <v>164</v>
      </c>
      <c r="S32" s="8"/>
      <c r="T32" s="8"/>
      <c r="U32" s="8"/>
      <c r="V32" s="8"/>
      <c r="W32" s="8"/>
      <c r="X32" s="8"/>
      <c r="Y32" s="8"/>
      <c r="Z32" s="8"/>
    </row>
    <row r="33" spans="1:26" ht="26.25" thickBot="1" x14ac:dyDescent="0.3">
      <c r="A33" s="2">
        <f t="shared" ref="A33:A38" si="2">A32+1</f>
        <v>3</v>
      </c>
      <c r="B33" s="5" t="s">
        <v>138</v>
      </c>
      <c r="C33" s="5" t="s">
        <v>139</v>
      </c>
      <c r="D33" s="5" t="s">
        <v>140</v>
      </c>
      <c r="E33" s="5" t="s">
        <v>141</v>
      </c>
      <c r="F33" s="6">
        <v>10</v>
      </c>
      <c r="G33" s="6">
        <v>2</v>
      </c>
      <c r="H33" s="6">
        <v>6</v>
      </c>
      <c r="I33" s="6">
        <v>120</v>
      </c>
      <c r="J33" s="1" t="s">
        <v>142</v>
      </c>
      <c r="K33" s="5"/>
      <c r="L33" s="5"/>
      <c r="M33" s="5"/>
    </row>
    <row r="34" spans="1:26" ht="26.25" thickBot="1" x14ac:dyDescent="0.3">
      <c r="A34" s="2">
        <f t="shared" si="2"/>
        <v>4</v>
      </c>
      <c r="B34" s="5" t="s">
        <v>143</v>
      </c>
      <c r="C34" s="5" t="s">
        <v>144</v>
      </c>
      <c r="D34" s="5" t="s">
        <v>145</v>
      </c>
      <c r="E34" s="5" t="s">
        <v>146</v>
      </c>
      <c r="F34" s="6">
        <v>10</v>
      </c>
      <c r="G34" s="6">
        <v>2</v>
      </c>
      <c r="H34" s="6">
        <v>8</v>
      </c>
      <c r="I34" s="6">
        <v>160</v>
      </c>
      <c r="J34" s="1" t="s">
        <v>147</v>
      </c>
      <c r="K34" s="5"/>
      <c r="L34" s="5"/>
      <c r="M34" s="5"/>
      <c r="R34" s="8" t="s">
        <v>165</v>
      </c>
      <c r="S34" s="8"/>
      <c r="T34" s="8"/>
      <c r="U34" s="8"/>
      <c r="V34" s="8"/>
      <c r="W34" s="8"/>
      <c r="X34" s="8"/>
      <c r="Y34" s="8"/>
      <c r="Z34" s="8"/>
    </row>
    <row r="35" spans="1:26" ht="26.25" thickBot="1" x14ac:dyDescent="0.3">
      <c r="A35" s="2">
        <f t="shared" si="2"/>
        <v>5</v>
      </c>
      <c r="B35" s="5" t="s">
        <v>128</v>
      </c>
      <c r="C35" s="5" t="s">
        <v>148</v>
      </c>
      <c r="D35" s="5" t="s">
        <v>149</v>
      </c>
      <c r="E35" s="5" t="s">
        <v>150</v>
      </c>
      <c r="F35" s="6">
        <v>9</v>
      </c>
      <c r="G35" s="6">
        <v>4</v>
      </c>
      <c r="H35" s="6">
        <v>5</v>
      </c>
      <c r="I35" s="11">
        <v>180</v>
      </c>
      <c r="J35" s="1" t="s">
        <v>151</v>
      </c>
      <c r="K35" s="5"/>
      <c r="L35" s="5"/>
      <c r="M35" s="5"/>
    </row>
    <row r="36" spans="1:26" ht="26.25" thickBot="1" x14ac:dyDescent="0.3">
      <c r="A36" s="2">
        <f t="shared" si="2"/>
        <v>6</v>
      </c>
      <c r="B36" s="5" t="s">
        <v>133</v>
      </c>
      <c r="C36" s="5" t="s">
        <v>152</v>
      </c>
      <c r="D36" s="5" t="s">
        <v>153</v>
      </c>
      <c r="E36" s="5" t="s">
        <v>154</v>
      </c>
      <c r="F36" s="6">
        <v>6</v>
      </c>
      <c r="G36" s="6">
        <v>3</v>
      </c>
      <c r="H36" s="6">
        <v>2</v>
      </c>
      <c r="I36" s="6">
        <v>36</v>
      </c>
      <c r="J36" s="1" t="s">
        <v>155</v>
      </c>
      <c r="K36" s="5"/>
      <c r="L36" s="5"/>
      <c r="M36" s="5"/>
    </row>
    <row r="37" spans="1:26" ht="26.25" thickBot="1" x14ac:dyDescent="0.3">
      <c r="A37" s="2">
        <f t="shared" si="2"/>
        <v>7</v>
      </c>
      <c r="B37" s="5" t="s">
        <v>138</v>
      </c>
      <c r="C37" s="5" t="s">
        <v>156</v>
      </c>
      <c r="D37" s="5" t="s">
        <v>157</v>
      </c>
      <c r="E37" s="5" t="s">
        <v>158</v>
      </c>
      <c r="F37" s="6">
        <v>8</v>
      </c>
      <c r="G37" s="6">
        <v>4</v>
      </c>
      <c r="H37" s="6">
        <v>2</v>
      </c>
      <c r="I37" s="6">
        <v>64</v>
      </c>
      <c r="J37" s="1" t="s">
        <v>159</v>
      </c>
      <c r="K37" s="5"/>
      <c r="L37" s="5"/>
      <c r="M37" s="5"/>
    </row>
    <row r="38" spans="1:26" ht="26.25" thickBot="1" x14ac:dyDescent="0.3">
      <c r="A38" s="2">
        <f t="shared" si="2"/>
        <v>8</v>
      </c>
      <c r="B38" s="5" t="s">
        <v>143</v>
      </c>
      <c r="C38" s="5" t="s">
        <v>160</v>
      </c>
      <c r="D38" s="5" t="s">
        <v>161</v>
      </c>
      <c r="E38" s="5" t="s">
        <v>162</v>
      </c>
      <c r="F38" s="6">
        <v>7</v>
      </c>
      <c r="G38" s="6">
        <v>3</v>
      </c>
      <c r="H38" s="6">
        <v>4</v>
      </c>
      <c r="I38" s="6">
        <v>84</v>
      </c>
      <c r="J38" s="1" t="s">
        <v>163</v>
      </c>
      <c r="K38" s="5"/>
      <c r="L38" s="5"/>
      <c r="M38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SUTAMA SARKAR</dc:creator>
  <cp:lastModifiedBy>SUTAMA SARKAR</cp:lastModifiedBy>
  <dcterms:created xsi:type="dcterms:W3CDTF">2025-12-24T14:03:34Z</dcterms:created>
  <dcterms:modified xsi:type="dcterms:W3CDTF">2025-12-24T18:40:29Z</dcterms:modified>
</cp:coreProperties>
</file>